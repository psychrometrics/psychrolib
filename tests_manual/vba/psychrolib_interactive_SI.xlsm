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Didier_Projects\PsychroLib\psychro-libs\tests_manual\vba\"/>
    </mc:Choice>
  </mc:AlternateContent>
  <bookViews>
    <workbookView xWindow="0" yWindow="0" windowWidth="20490" windowHeight="7470"/>
  </bookViews>
  <sheets>
    <sheet name="pyschrolib_interactive_SI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E14" i="1"/>
  <c r="F13" i="1"/>
  <c r="E13" i="1"/>
  <c r="D15" i="1"/>
  <c r="D13" i="1"/>
  <c r="F17" i="1"/>
  <c r="E15" i="1"/>
  <c r="D18" i="1"/>
  <c r="D14" i="1"/>
  <c r="F18" i="1"/>
  <c r="D17" i="1"/>
  <c r="D19" i="1" s="1"/>
  <c r="D21" i="1"/>
  <c r="B5" i="1"/>
  <c r="E17" i="1"/>
  <c r="E19" i="1"/>
  <c r="D16" i="1"/>
  <c r="E16" i="1"/>
  <c r="D20" i="1"/>
  <c r="F15" i="1"/>
  <c r="F21" i="1"/>
  <c r="F14" i="1"/>
  <c r="F20" i="1"/>
  <c r="F19" i="1"/>
  <c r="E18" i="1"/>
  <c r="E21" i="1"/>
  <c r="B8" i="1" l="1"/>
  <c r="B20" i="1"/>
  <c r="B15" i="1"/>
  <c r="B7" i="1"/>
  <c r="B19" i="1"/>
  <c r="B14" i="1"/>
  <c r="B11" i="1"/>
  <c r="B13" i="1"/>
  <c r="B17" i="1"/>
  <c r="B9" i="1"/>
  <c r="B18" i="1"/>
  <c r="E20" i="1"/>
</calcChain>
</file>

<file path=xl/sharedStrings.xml><?xml version="1.0" encoding="utf-8"?>
<sst xmlns="http://schemas.openxmlformats.org/spreadsheetml/2006/main" count="22" uniqueCount="18">
  <si>
    <t>System of units</t>
  </si>
  <si>
    <t>Dry Bulb Temperature</t>
  </si>
  <si>
    <t>Dew Point Temperature</t>
  </si>
  <si>
    <t>Relative Humidity</t>
  </si>
  <si>
    <t>Atmospheric Pressure</t>
  </si>
  <si>
    <t>[0-1]</t>
  </si>
  <si>
    <t>Wet Bulb Temperature</t>
  </si>
  <si>
    <t>Humidity Ratio</t>
  </si>
  <si>
    <t>Degree of Saturation</t>
  </si>
  <si>
    <t>Partial Pressure of Water Vapor</t>
  </si>
  <si>
    <t>Moist Air Volume</t>
  </si>
  <si>
    <t>unitless</t>
  </si>
  <si>
    <t>Wet bulb temperature</t>
  </si>
  <si>
    <t>From
Dry bulb temperature 
and 
Dew point temperature</t>
  </si>
  <si>
    <t>From
Dry bulb temperature 
and 
Wet bulb temperature</t>
  </si>
  <si>
    <t>From
Dry bulb temperature 
and 
Relative humidity</t>
  </si>
  <si>
    <t>Moist Air Enthalpy</t>
  </si>
  <si>
    <t>Interactive test of the VBA version of PsychroLIb in SI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</si>
</sst>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1"/>
  <sheetViews>
    <sheetView tabSelected="1" workbookViewId="0">
      <selection activeCell="D7" sqref="D7"/>
    </sheetView>
  </sheetViews>
  <sheetFormatPr defaultRowHeight="15" x14ac:dyDescent="0.25"/>
  <cols>
    <col min="1" max="1" width="29.28515625" bestFit="1" customWidth="1"/>
    <col min="2" max="2" width="19.42578125" customWidth="1"/>
    <col min="4" max="6" width="25.7109375" style="1" customWidth="1"/>
  </cols>
  <sheetData>
    <row r="2" spans="1:6" x14ac:dyDescent="0.25">
      <c r="A2" s="10" t="s">
        <v>17</v>
      </c>
    </row>
    <row r="5" spans="1:6" ht="60" x14ac:dyDescent="0.25">
      <c r="A5" s="4" t="s">
        <v>0</v>
      </c>
      <c r="B5" s="6">
        <f>getunitsystem()</f>
        <v>2</v>
      </c>
      <c r="C5" s="4"/>
      <c r="D5" s="5" t="s">
        <v>13</v>
      </c>
      <c r="E5" s="5" t="s">
        <v>14</v>
      </c>
      <c r="F5" s="5" t="s">
        <v>15</v>
      </c>
    </row>
    <row r="6" spans="1:6" x14ac:dyDescent="0.25">
      <c r="B6" s="1"/>
    </row>
    <row r="7" spans="1:6" x14ac:dyDescent="0.25">
      <c r="A7" t="s">
        <v>1</v>
      </c>
      <c r="B7" s="1" t="str">
        <f>IF($B$5="IP", "°F","°C")</f>
        <v>°C</v>
      </c>
      <c r="D7" s="3">
        <v>25</v>
      </c>
      <c r="E7" s="3">
        <v>25</v>
      </c>
      <c r="F7" s="3">
        <v>25</v>
      </c>
    </row>
    <row r="8" spans="1:6" x14ac:dyDescent="0.25">
      <c r="A8" t="s">
        <v>12</v>
      </c>
      <c r="B8" s="1" t="str">
        <f>IF($B$5="IP", "°F","°C")</f>
        <v>°C</v>
      </c>
      <c r="D8" s="2"/>
      <c r="E8" s="3">
        <v>21.51</v>
      </c>
      <c r="F8" s="2"/>
    </row>
    <row r="9" spans="1:6" x14ac:dyDescent="0.25">
      <c r="A9" t="s">
        <v>2</v>
      </c>
      <c r="B9" s="1" t="str">
        <f>IF($B$5="IP", "°F","°C")</f>
        <v>°C</v>
      </c>
      <c r="D9" s="3">
        <v>20</v>
      </c>
      <c r="E9" s="2"/>
      <c r="F9" s="2"/>
    </row>
    <row r="10" spans="1:6" x14ac:dyDescent="0.25">
      <c r="A10" t="s">
        <v>3</v>
      </c>
      <c r="B10" s="1" t="s">
        <v>5</v>
      </c>
      <c r="D10" s="2"/>
      <c r="E10" s="2"/>
      <c r="F10" s="3">
        <v>0.73799999999999999</v>
      </c>
    </row>
    <row r="11" spans="1:6" x14ac:dyDescent="0.25">
      <c r="A11" t="s">
        <v>4</v>
      </c>
      <c r="B11" s="1" t="str">
        <f>IF($B$5="IP","Psi", "Pa")</f>
        <v>Pa</v>
      </c>
      <c r="D11" s="3">
        <v>101325</v>
      </c>
      <c r="E11" s="3">
        <v>101325</v>
      </c>
      <c r="F11" s="3">
        <v>101325</v>
      </c>
    </row>
    <row r="12" spans="1:6" x14ac:dyDescent="0.25">
      <c r="B12" s="1"/>
    </row>
    <row r="13" spans="1:6" x14ac:dyDescent="0.25">
      <c r="A13" t="s">
        <v>1</v>
      </c>
      <c r="B13" s="1" t="str">
        <f t="shared" ref="B13:B15" si="0">IF($B$5="IP", "°F","°C")</f>
        <v>°C</v>
      </c>
      <c r="D13" s="8">
        <f>D7</f>
        <v>25</v>
      </c>
      <c r="E13" s="8">
        <f>E7</f>
        <v>25</v>
      </c>
      <c r="F13" s="8">
        <f>F7</f>
        <v>25</v>
      </c>
    </row>
    <row r="14" spans="1:6" x14ac:dyDescent="0.25">
      <c r="A14" t="s">
        <v>6</v>
      </c>
      <c r="B14" s="1" t="str">
        <f t="shared" si="0"/>
        <v>°C</v>
      </c>
      <c r="D14" s="8">
        <f>gettwetbulbfromtdewpoint(D7,D9,D11)</f>
        <v>21.511535645407314</v>
      </c>
      <c r="E14" s="8">
        <f>E8</f>
        <v>21.51</v>
      </c>
      <c r="F14" s="8">
        <f>GetTWetBulbFromRelHum(F7,F10,F11)</f>
        <v>21.511911537759453</v>
      </c>
    </row>
    <row r="15" spans="1:6" x14ac:dyDescent="0.25">
      <c r="A15" t="s">
        <v>2</v>
      </c>
      <c r="B15" s="1" t="str">
        <f t="shared" si="0"/>
        <v>°C</v>
      </c>
      <c r="D15" s="8">
        <f>D9</f>
        <v>20</v>
      </c>
      <c r="E15" s="8">
        <f>GetTDewPointFromTWetBulb(E7,E8,E11)</f>
        <v>19.997778034583757</v>
      </c>
      <c r="F15" s="8">
        <f>GetTDewPointFromRelHum(F7,F10)</f>
        <v>20.000538766044169</v>
      </c>
    </row>
    <row r="16" spans="1:6" x14ac:dyDescent="0.25">
      <c r="A16" t="s">
        <v>3</v>
      </c>
      <c r="B16" s="1" t="s">
        <v>5</v>
      </c>
      <c r="D16" s="7">
        <f>GetRelHumFromTDewPoint(D7,D9)</f>
        <v>0.73797537091809562</v>
      </c>
      <c r="E16" s="7">
        <f>GetRelHumFromTWetBulb(E7,E8,E11)</f>
        <v>0.73787380358341559</v>
      </c>
      <c r="F16" s="7">
        <f>F10</f>
        <v>0.73799999999999999</v>
      </c>
    </row>
    <row r="17" spans="1:6" x14ac:dyDescent="0.25">
      <c r="A17" t="s">
        <v>7</v>
      </c>
      <c r="B17" s="1" t="str">
        <f>IF(B5="IP", "lb_H2O/lb_DryAir", "kg_H2O/kg_DryAir")</f>
        <v>kg_H2O/kg_DryAir</v>
      </c>
      <c r="D17" s="7">
        <f>GetHumRatioFromTDewPoint(D9,D11)</f>
        <v>1.469505164977836E-2</v>
      </c>
      <c r="E17" s="7">
        <f>GetHumRatioFromTWetBulb(E7,E8,E11)</f>
        <v>1.469298139465164E-2</v>
      </c>
      <c r="F17" s="7">
        <f>GetHumRatioFromRelHum(F7,F10,F11)</f>
        <v>1.4695553668357989E-2</v>
      </c>
    </row>
    <row r="18" spans="1:6" x14ac:dyDescent="0.25">
      <c r="A18" t="s">
        <v>9</v>
      </c>
      <c r="B18" s="1" t="str">
        <f>IF($B$5="IP","Psi", "Pa")</f>
        <v>Pa</v>
      </c>
      <c r="D18" s="9">
        <f>GetVapPresFromTDewPoint(D9)</f>
        <v>2338.8037000739814</v>
      </c>
      <c r="E18" s="9">
        <f>getvappresfromhumratio(E17,E11)</f>
        <v>2338.4818112040848</v>
      </c>
      <c r="F18" s="9">
        <f>getvappresfromrelhum(F7,F10)</f>
        <v>2338.8817549659971</v>
      </c>
    </row>
    <row r="19" spans="1:6" x14ac:dyDescent="0.25">
      <c r="A19" t="s">
        <v>16</v>
      </c>
      <c r="B19" s="1" t="str">
        <f>IF($B$5="IP","BTU/lb", "J/kg")</f>
        <v>J/kg</v>
      </c>
      <c r="D19" s="9">
        <f>GetMoistAirEnthalpy(D7,D17)</f>
        <v>62585.644077810372</v>
      </c>
      <c r="E19" s="9">
        <f t="shared" ref="E19:F19" si="1">GetMoistAirEnthalpy(E7,E17)</f>
        <v>62580.370102875051</v>
      </c>
      <c r="F19" s="9">
        <f t="shared" si="1"/>
        <v>62586.922970141975</v>
      </c>
    </row>
    <row r="20" spans="1:6" x14ac:dyDescent="0.25">
      <c r="A20" t="s">
        <v>10</v>
      </c>
      <c r="B20" s="1" t="str">
        <f>IF($B$5="IP","ft3/lb", "m3/kg")</f>
        <v>m3/kg</v>
      </c>
      <c r="D20" s="7">
        <f>getmoistairvolume(D7,D17,D11)</f>
        <v>0.864580860819258</v>
      </c>
      <c r="E20" s="7">
        <f t="shared" ref="E20:F20" si="2">getmoistairvolume(E7,E17,E11)</f>
        <v>0.86457804933789961</v>
      </c>
      <c r="F20" s="7">
        <f t="shared" si="2"/>
        <v>0.86458154257865094</v>
      </c>
    </row>
    <row r="21" spans="1:6" x14ac:dyDescent="0.25">
      <c r="A21" t="s">
        <v>8</v>
      </c>
      <c r="B21" s="1" t="s">
        <v>11</v>
      </c>
      <c r="D21" s="7">
        <f>GetDegreeOfSaturation(D7,D17,D11)</f>
        <v>0.73178436454635443</v>
      </c>
      <c r="E21" s="7">
        <f t="shared" ref="E21:F21" si="3">GetDegreeOfSaturation(E7,E17,E11)</f>
        <v>0.73168126995584459</v>
      </c>
      <c r="F21" s="7">
        <f t="shared" si="3"/>
        <v>0.73180936407381714</v>
      </c>
    </row>
  </sheetData>
  <pageMargins left="0.7" right="0.7" top="0.75" bottom="0.75" header="0.3" footer="0.3"/>
  <pageSetup orientation="portrait" r:id="rId1"/>
  <ignoredErrors>
    <ignoredError sqref="D1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pyschrolib_interactive_SI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Solar</dc:creator>
  <cp:lastModifiedBy>Solar</cp:lastModifiedBy>
  <dcterms:created xsi:type="dcterms:W3CDTF">2018-11-21T19:32:40Z</dcterms:created>
  <dcterms:modified xsi:type="dcterms:W3CDTF">2018-11-28T01:55:34Z</dcterms:modified>
</cp:coreProperties>
</file>